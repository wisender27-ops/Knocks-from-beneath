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d198256fa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7bc2fe70174e4e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3C50"/>
      <x:name val="Carlito"/>
    </x:font>
    <x:font>
      <x:b/>
      <x:sz val="15"/>
      <x:color rgb="FF1D4962"/>
      <x:name val="Carlito"/>
    </x:font>
    <x:font>
      <x:b/>
      <x:sz val="11"/>
      <x:color rgb="FFFFFFFF"/>
      <x:name val="Carlito"/>
    </x:font>
    <x:font>
      <x:sz val="10"/>
      <x:color rgb="FF53677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83A"/>
      </x:patternFill>
    </x:fill>
    <x:fill>
      <x:patternFill patternType="solid">
        <x:fgColor rgb="FFDCE6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D9EDE1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E6EDF5"/>
        </x:patternFill>
      </x:fill>
    </x:dxf>
    <x:dxf>
      <x:fill>
        <x:patternFill patternType="solid">
          <x:bgColor rgb="FFF0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47757528c4217" /><Relationship Type="http://schemas.openxmlformats.org/officeDocument/2006/relationships/theme" Target="/xl/theme/theme1.xml" Id="R8549ba1b909d4eb0" /><Relationship Type="http://schemas.openxmlformats.org/officeDocument/2006/relationships/sharedStrings" Target="/xl/sharedStrings.xml" Id="Rde979473eeee49cc" /><Relationship Type="http://schemas.openxmlformats.org/officeDocument/2006/relationships/worksheet" Target="/xl/worksheets/sheet1.xml" Id="R7bc2fe70174e4e0e" /></Relationships>
</file>

<file path=xl/tables/table1.xml><?xml version="1.0" encoding="utf-8"?>
<x:table xmlns:x="http://schemas.openxmlformats.org/spreadsheetml/2006/main" id="1" name="RoadmapTasks" displayName="RoadmapTasks" ref="A8:E49" headerRowCount="1" totalsRowCount="0" totalsRowShown="0">
  <x:tableColumns count="5">
    <x:tableColumn id="1" name="ID"/>
    <x:tableColumn id="2" name="Фаза"/>
    <x:tableColumn id="3" name="Задача"/>
    <x:tableColumn id="4" name="Статус"/>
    <x:tableColumn id="5" name="Исполнител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eaa336b05545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46" hidden="0" customWidth="1"/>
    <x:col min="4" max="4" width="18" hidden="0" customWidth="1"/>
    <x:col min="5" max="5" width="18" hidden="0" customWidth="1"/>
  </x:cols>
  <x:sheetData>
    <x:row r="1" ht="32" customHeight="1">
      <x:c r="A1" s="2" t="str">
        <x:v>KNOCKS FROM BENEATH • ROADMAP</x:v>
      </x:c>
      <x:c r="B1" s="2"/>
      <x:c r="C1" s="2"/>
      <x:c r="D1" s="2"/>
      <x:c r="E1" s="2"/>
    </x:row>
    <x:row r="2">
      <x:c r="A2" s="7" t="str">
        <x:v>Снимок DESIGN_ROADMAP.md на 27.10.2026 • исходный файл остаётся главным планом</x:v>
      </x:c>
      <x:c r="B2" s="7"/>
      <x:c r="C2" s="7"/>
      <x:c r="D2" s="7"/>
      <x:c r="E2" s="7"/>
    </x:row>
    <x:row r="4">
      <x:c r="A4" s="4" t="str">
        <x:v>Всего</x:v>
      </x:c>
      <x:c r="B4" s="4" t="str">
        <x:v>Готово</x:v>
      </x:c>
      <x:c r="C4" s="4" t="str">
        <x:v>В работе</x:v>
      </x:c>
      <x:c r="D4" s="4" t="str">
        <x:v>Не начато</x:v>
      </x:c>
      <x:c r="E4" s="4" t="str">
        <x:v>Отменено</x:v>
      </x:c>
    </x:row>
    <x:row r="5">
      <x:c r="A5" s="5" t="n">
        <x:f>COUNTA(A9:A500)</x:f>
        <x:v>41</x:v>
      </x:c>
      <x:c r="B5" s="5" t="n">
        <x:f>COUNTIF(D9:D500,"Готово")</x:f>
        <x:v>23</x:v>
      </x:c>
      <x:c r="C5" s="5" t="n">
        <x:f>COUNTIF(D9:D500,"В работе")</x:f>
        <x:v>1</x:v>
      </x:c>
      <x:c r="D5" s="5" t="n">
        <x:f>COUNTIF(D9:D500,"Не начато")</x:f>
        <x:v>16</x:v>
      </x:c>
      <x:c r="E5" s="5" t="n">
        <x:f>COUNTIF(D9:D500,"Отменено")</x:f>
        <x:v>1</x:v>
      </x:c>
    </x:row>
    <x:row r="7">
      <x:c r="A7" s="7" t="str">
        <x:v>Изменяйте статус в списке; используйте фильтры в заголовках. Таблица не синхронизируется с roadmap автоматически.</x:v>
      </x:c>
      <x:c r="B7" s="7"/>
      <x:c r="C7" s="7"/>
      <x:c r="D7" s="7"/>
      <x:c r="E7" s="7"/>
    </x:row>
    <x:row r="8">
      <x:c r="A8" s="6" t="str">
        <x:v>ID</x:v>
      </x:c>
      <x:c r="B8" s="6" t="str">
        <x:v>Фаза</x:v>
      </x:c>
      <x:c r="C8" s="6" t="str">
        <x:v>Задача</x:v>
      </x:c>
      <x:c r="D8" s="6" t="str">
        <x:v>Статус</x:v>
      </x:c>
      <x:c r="E8" s="6" t="str">
        <x:v>Исполнитель</x:v>
      </x:c>
    </x:row>
    <x:row r="9" ht="21" customHeight="1">
      <x:c r="A9" t="str">
        <x:v>D-01</x:v>
      </x:c>
      <x:c r="B9" t="str">
        <x:v>Фаза 0 — Фундамент</x:v>
      </x:c>
      <x:c r="C9" t="str">
        <x:v>Канон сюжета</x:v>
      </x:c>
      <x:c r="D9" t="str">
        <x:v>Готово</x:v>
      </x:c>
      <x:c r="E9" t="str"/>
    </x:row>
    <x:row r="10" ht="21" customHeight="1">
      <x:c r="A10" t="str">
        <x:v>D-02</x:v>
      </x:c>
      <x:c r="B10" t="str">
        <x:v>Фаза 0 — Фундамент</x:v>
      </x:c>
      <x:c r="C10" t="str">
        <x:v>Концовки</x:v>
      </x:c>
      <x:c r="D10" t="str">
        <x:v>Готово</x:v>
      </x:c>
      <x:c r="E10" t="str"/>
    </x:row>
    <x:row r="11" ht="21" customHeight="1">
      <x:c r="A11" t="str">
        <x:v>F-01</x:v>
      </x:c>
      <x:c r="B11" t="str">
        <x:v>Фаза 0 — Фундамент</x:v>
      </x:c>
      <x:c r="C11" t="str">
        <x:v>Предполётная проверка</x:v>
      </x:c>
      <x:c r="D11" t="str">
        <x:v>Готово</x:v>
      </x:c>
      <x:c r="E11" t="str"/>
    </x:row>
    <x:row r="12" ht="21" customHeight="1">
      <x:c r="A12" t="str">
        <x:v>F-01a</x:v>
      </x:c>
      <x:c r="B12" t="str">
        <x:v>Фаза 0 — Фундамент</x:v>
      </x:c>
      <x:c r="C12" t="str">
        <x:v>Баг коллайдеров декора кухни</x:v>
      </x:c>
      <x:c r="D12" t="str">
        <x:v>Готово</x:v>
      </x:c>
      <x:c r="E12" t="str"/>
    </x:row>
    <x:row r="13" ht="21" customHeight="1">
      <x:c r="A13" t="str">
        <x:v>F-02</x:v>
      </x:c>
      <x:c r="B13" t="str">
        <x:v>Фаза 0 — Фундамент</x:v>
      </x:c>
      <x:c r="C13" t="str">
        <x:v>Общий MinigameWindow</x:v>
      </x:c>
      <x:c r="D13" t="str">
        <x:v>Готово</x:v>
      </x:c>
      <x:c r="E13" t="str"/>
    </x:row>
    <x:row r="14" ht="21" customHeight="1">
      <x:c r="A14" t="str">
        <x:v>F-03</x:v>
      </x:c>
      <x:c r="B14" t="str">
        <x:v>Фаза 0 — Фундамент</x:v>
      </x:c>
      <x:c r="C14" t="str">
        <x:v>StoryFlags</x:v>
      </x:c>
      <x:c r="D14" t="str">
        <x:v>Готово</x:v>
      </x:c>
      <x:c r="E14" t="str"/>
    </x:row>
    <x:row r="15" ht="21" customHeight="1">
      <x:c r="A15" t="str">
        <x:v>F-04</x:v>
      </x:c>
      <x:c r="B15" t="str">
        <x:v>Фаза 0 — Фундамент</x:v>
      </x:c>
      <x:c r="C15" t="str">
        <x:v>Чекпойнты по главам</x:v>
      </x:c>
      <x:c r="D15" t="str">
        <x:v>Готово</x:v>
      </x:c>
      <x:c r="E15" t="str">
        <x:v>ENDERWIS</x:v>
      </x:c>
    </x:row>
    <x:row r="16" ht="21" customHeight="1">
      <x:c r="A16" t="str">
        <x:v>F-05</x:v>
      </x:c>
      <x:c r="B16" t="str">
        <x:v>Фаза 0 — Фундамент</x:v>
      </x:c>
      <x:c r="C16" t="str">
        <x:v>Реестр концовок</x:v>
      </x:c>
      <x:c r="D16" t="str">
        <x:v>Готово</x:v>
      </x:c>
      <x:c r="E16" t="str">
        <x:v>ENDERWIS</x:v>
      </x:c>
    </x:row>
    <x:row r="17" ht="21" customHeight="1">
      <x:c r="A17" t="str">
        <x:v>K-01</x:v>
      </x:c>
      <x:c r="B17" t="str">
        <x:v>Фаза 1 — Стук-язык</x:v>
      </x:c>
      <x:c r="C17" t="str">
        <x:v>Стук «под ногами»</x:v>
      </x:c>
      <x:c r="D17" t="str">
        <x:v>Готово</x:v>
      </x:c>
      <x:c r="E17" t="str"/>
    </x:row>
    <x:row r="18" ht="21" customHeight="1">
      <x:c r="A18" t="str">
        <x:v>K-02</x:v>
      </x:c>
      <x:c r="B18" t="str">
        <x:v>Фаза 1 — Стук-язык</x:v>
      </x:c>
      <x:c r="C18" t="str">
        <x:v>Ответный стук</x:v>
      </x:c>
      <x:c r="D18" t="str">
        <x:v>Готово</x:v>
      </x:c>
      <x:c r="E18" t="str"/>
    </x:row>
    <x:row r="19" ht="21" customHeight="1">
      <x:c r="A19" t="str">
        <x:v>K-03</x:v>
      </x:c>
      <x:c r="B19" t="str">
        <x:v>Фаза 1 — Стук-язык</x:v>
      </x:c>
      <x:c r="C19" t="str">
        <x:v>Мини-игра M1 «Перестук»</x:v>
      </x:c>
      <x:c r="D19" t="str">
        <x:v>Готово</x:v>
      </x:c>
      <x:c r="E19" t="str"/>
    </x:row>
    <x:row r="20" ht="21" customHeight="1">
      <x:c r="A20" t="str">
        <x:v>K-04</x:v>
      </x:c>
      <x:c r="B20" t="str">
        <x:v>Фаза 1 — Стук-язык</x:v>
      </x:c>
      <x:c r="C20" t="str">
        <x:v>Стуки-подсказки</x:v>
      </x:c>
      <x:c r="D20" t="str">
        <x:v>Не начато</x:v>
      </x:c>
      <x:c r="E20" t="str"/>
    </x:row>
    <x:row r="21" ht="21" customHeight="1">
      <x:c r="A21" t="str">
        <x:v>N-01</x:v>
      </x:c>
      <x:c r="B21" t="str">
        <x:v>Фаза 1 — Стук-язык</x:v>
      </x:c>
      <x:c r="C21" t="str">
        <x:v>Пугалка с соседом</x:v>
      </x:c>
      <x:c r="D21" t="str">
        <x:v>Готово</x:v>
      </x:c>
      <x:c r="E21" t="str">
        <x:v>ENDERWIS</x:v>
      </x:c>
    </x:row>
    <x:row r="22" ht="21" customHeight="1">
      <x:c r="A22" t="str">
        <x:v>K-05</x:v>
      </x:c>
      <x:c r="B22" t="str">
        <x:v>Фаза 1 — Стук-язык</x:v>
      </x:c>
      <x:c r="C22" t="str">
        <x:v>Реакции героя</x:v>
      </x:c>
      <x:c r="D22" t="str">
        <x:v>Готово</x:v>
      </x:c>
      <x:c r="E22" t="str">
        <x:v>ENDERWIS</x:v>
      </x:c>
    </x:row>
    <x:row r="23" ht="21" customHeight="1">
      <x:c r="A23" t="str">
        <x:v>M-03</x:v>
      </x:c>
      <x:c r="B23" t="str">
        <x:v>Фаза 2 — Сюжетные мини-игры</x:v>
      </x:c>
      <x:c r="C23" t="str">
        <x:v>«Гвозди» (M3)</x:v>
      </x:c>
      <x:c r="D23" t="str">
        <x:v>Готово</x:v>
      </x:c>
      <x:c r="E23" t="str"/>
    </x:row>
    <x:row r="24" ht="21" customHeight="1">
      <x:c r="A24" t="str">
        <x:v>M-02</x:v>
      </x:c>
      <x:c r="B24" t="str">
        <x:v>Фаза 2 — Сюжетные мини-игры</x:v>
      </x:c>
      <x:c r="C24" t="str">
        <x:v>«Плёнка» (M2)</x:v>
      </x:c>
      <x:c r="D24" t="str">
        <x:v>Не начато</x:v>
      </x:c>
      <x:c r="E24" t="str"/>
    </x:row>
    <x:row r="25" ht="21" customHeight="1">
      <x:c r="A25" t="str">
        <x:v>M-04</x:v>
      </x:c>
      <x:c r="B25" t="str">
        <x:v>Фаза 2 — Сюжетные мини-игры</x:v>
      </x:c>
      <x:c r="C25" t="str">
        <x:v>«Щиток» (M4)</x:v>
      </x:c>
      <x:c r="D25" t="str">
        <x:v>Готово</x:v>
      </x:c>
      <x:c r="E25" t="str">
        <x:v>ENDERWIS</x:v>
      </x:c>
    </x:row>
    <x:row r="26" ht="21" customHeight="1">
      <x:c r="A26" t="str">
        <x:v>M-05</x:v>
      </x:c>
      <x:c r="B26" t="str">
        <x:v>Фаза 2 — Сюжетные мини-игры</x:v>
      </x:c>
      <x:c r="C26" t="str">
        <x:v>«Осмотр» (M5)</x:v>
      </x:c>
      <x:c r="D26" t="str">
        <x:v>Готово</x:v>
      </x:c>
      <x:c r="E26" t="str"/>
    </x:row>
    <x:row r="27" ht="21" customHeight="1">
      <x:c r="A27" t="str">
        <x:v>M-06</x:v>
      </x:c>
      <x:c r="B27" t="str">
        <x:v>Фаза 2 — Сюжетные мини-игры</x:v>
      </x:c>
      <x:c r="C27" t="str">
        <x:v>«Звонок» (M6)</x:v>
      </x:c>
      <x:c r="D27" t="str">
        <x:v>Не начато</x:v>
      </x:c>
      <x:c r="E27" t="str"/>
    </x:row>
    <x:row r="28" ht="21" customHeight="1">
      <x:c r="A28" t="str">
        <x:v>M-07</x:v>
      </x:c>
      <x:c r="B28" t="str">
        <x:v>Фаза 2 — Сюжетные мини-игры</x:v>
      </x:c>
      <x:c r="C28" t="str">
        <x:v>«Дыхание» (M7)</x:v>
      </x:c>
      <x:c r="D28" t="str">
        <x:v>Готово</x:v>
      </x:c>
      <x:c r="E28" t="str">
        <x:v>ENDERWIS</x:v>
      </x:c>
    </x:row>
    <x:row r="29" ht="21" customHeight="1">
      <x:c r="A29" t="str">
        <x:v>B-01</x:v>
      </x:c>
      <x:c r="B29" t="str">
        <x:v>Фаза 3 — Выбор и концовки</x:v>
      </x:c>
      <x:c r="C29" t="str">
        <x:v>Вернуть запирание двери</x:v>
      </x:c>
      <x:c r="D29" t="str">
        <x:v>Готово</x:v>
      </x:c>
      <x:c r="E29" t="str">
        <x:v>ENDERWIS</x:v>
      </x:c>
    </x:row>
    <x:row r="30" ht="21" customHeight="1">
      <x:c r="A30" t="str">
        <x:v>B-02</x:v>
      </x:c>
      <x:c r="B30" t="str">
        <x:v>Фаза 3 — Выбор и концовки</x:v>
      </x:c>
      <x:c r="C30" t="str">
        <x:v>Развилка ночи 2</x:v>
      </x:c>
      <x:c r="D30" t="str">
        <x:v>Готово</x:v>
      </x:c>
      <x:c r="E30" t="str">
        <x:v>ENDERWIS</x:v>
      </x:c>
    </x:row>
    <x:row r="31" ht="21" customHeight="1">
      <x:c r="A31" t="str">
        <x:v>B-03</x:v>
      </x:c>
      <x:c r="B31" t="str">
        <x:v>Фаза 3 — Выбор и концовки</x:v>
      </x:c>
      <x:c r="C31" t="str">
        <x:v>Концовки E3/E4</x:v>
      </x:c>
      <x:c r="D31" t="str">
        <x:v>Не начато</x:v>
      </x:c>
      <x:c r="E31" t="str"/>
    </x:row>
    <x:row r="32" ht="21" customHeight="1">
      <x:c r="A32" t="str">
        <x:v>B-04</x:v>
      </x:c>
      <x:c r="B32" t="str">
        <x:v>Фаза 3 — Выбор и концовки</x:v>
      </x:c>
      <x:c r="C32" t="str">
        <x:v>Концовка «Сосед»</x:v>
      </x:c>
      <x:c r="D32" t="str">
        <x:v>Отменено</x:v>
      </x:c>
      <x:c r="E32" t="str"/>
    </x:row>
    <x:row r="33" ht="21" customHeight="1">
      <x:c r="A33" t="str">
        <x:v>B-05</x:v>
      </x:c>
      <x:c r="B33" t="str">
        <x:v>Фаза 3 — Выбор и концовки</x:v>
      </x:c>
      <x:c r="C33" t="str">
        <x:v>Истинная концовка E5 «Ответ»</x:v>
      </x:c>
      <x:c r="D33" t="str">
        <x:v>Не начато</x:v>
      </x:c>
      <x:c r="E33" t="str"/>
    </x:row>
    <x:row r="34" ht="21" customHeight="1">
      <x:c r="A34" t="str">
        <x:v>B-06</x:v>
      </x:c>
      <x:c r="B34" t="str">
        <x:v>Фаза 3 — Выбор и концовки</x:v>
      </x:c>
      <x:c r="C34" t="str">
        <x:v>Галерея концовок</x:v>
      </x:c>
      <x:c r="D34" t="str">
        <x:v>Не начато</x:v>
      </x:c>
      <x:c r="E34" t="str"/>
    </x:row>
    <x:row r="35" ht="21" customHeight="1">
      <x:c r="A35" t="str">
        <x:v>B-07</x:v>
      </x:c>
      <x:c r="B35" t="str">
        <x:v>Фаза 3 — Выбор и концовки</x:v>
      </x:c>
      <x:c r="C35" t="str">
        <x:v>«Стакан воды»</x:v>
      </x:c>
      <x:c r="D35" t="str">
        <x:v>В работе</x:v>
      </x:c>
      <x:c r="E35" t="str">
        <x:v>ENDERWIS</x:v>
      </x:c>
    </x:row>
    <x:row r="36" ht="21" customHeight="1">
      <x:c r="A36" t="str">
        <x:v>C-01</x:v>
      </x:c>
      <x:c r="B36" t="str">
        <x:v>Фаза 4 — Видеокамера</x:v>
      </x:c>
      <x:c r="C36" t="str">
        <x:v>Камера как предмет</x:v>
      </x:c>
      <x:c r="D36" t="str">
        <x:v>Готово</x:v>
      </x:c>
      <x:c r="E36" t="str"/>
    </x:row>
    <x:row r="37" ht="21" customHeight="1">
      <x:c r="A37" t="str">
        <x:v>C-02</x:v>
      </x:c>
      <x:c r="B37" t="str">
        <x:v>Фаза 4 — Видеокамера</x:v>
      </x:c>
      <x:c r="C37" t="str">
        <x:v>Ночная запись</x:v>
      </x:c>
      <x:c r="D37" t="str">
        <x:v>Готово</x:v>
      </x:c>
      <x:c r="E37" t="str"/>
    </x:row>
    <x:row r="38" ht="21" customHeight="1">
      <x:c r="A38" t="str">
        <x:v>C-03</x:v>
      </x:c>
      <x:c r="B38" t="str">
        <x:v>Фаза 4 — Видеокамера</x:v>
      </x:c>
      <x:c r="C38" t="str">
        <x:v>Мини-игра «Плёнка» (M2)</x:v>
      </x:c>
      <x:c r="D38" t="str">
        <x:v>Не начато</x:v>
      </x:c>
      <x:c r="E38" t="str"/>
    </x:row>
    <x:row r="39" ht="21" customHeight="1">
      <x:c r="A39" t="str">
        <x:v>C-04</x:v>
      </x:c>
      <x:c r="B39" t="str">
        <x:v>Фаза 4 — Видеокамера</x:v>
      </x:c>
      <x:c r="C39" t="str">
        <x:v>Вторая запись</x:v>
      </x:c>
      <x:c r="D39" t="str">
        <x:v>Не начато</x:v>
      </x:c>
      <x:c r="E39" t="str"/>
    </x:row>
    <x:row r="40" ht="21" customHeight="1">
      <x:c r="A40" t="str">
        <x:v>P-01</x:v>
      </x:c>
      <x:c r="B40" t="str">
        <x:v>Фаза 5 — Темп и атмосфера</x:v>
      </x:c>
      <x:c r="C40" t="str">
        <x:v>Сжать день 1</x:v>
      </x:c>
      <x:c r="D40" t="str">
        <x:v>Не начато</x:v>
      </x:c>
      <x:c r="E40" t="str"/>
    </x:row>
    <x:row r="41" ht="21" customHeight="1">
      <x:c r="A41" t="str">
        <x:v>P-02</x:v>
      </x:c>
      <x:c r="B41" t="str">
        <x:v>Фаза 5 — Темп и атмосфера</x:v>
      </x:c>
      <x:c r="C41" t="str">
        <x:v>Аномалии дня 2</x:v>
      </x:c>
      <x:c r="D41" t="str">
        <x:v>Не начато</x:v>
      </x:c>
      <x:c r="E41" t="str"/>
    </x:row>
    <x:row r="42" ht="21" customHeight="1">
      <x:c r="A42" t="str">
        <x:v>P-03</x:v>
      </x:c>
      <x:c r="B42" t="str">
        <x:v>Фаза 5 — Темп и атмосфера</x:v>
      </x:c>
      <x:c r="C42" t="str">
        <x:v>Подвал как глава</x:v>
      </x:c>
      <x:c r="D42" t="str">
        <x:v>Не начато</x:v>
      </x:c>
      <x:c r="E42" t="str"/>
    </x:row>
    <x:row r="43" ht="21" customHeight="1">
      <x:c r="A43" t="str">
        <x:v>P-04</x:v>
      </x:c>
      <x:c r="B43" t="str">
        <x:v>Фаза 5 — Темп и атмосфера</x:v>
      </x:c>
      <x:c r="C43" t="str">
        <x:v>Диегетический дедлайн</x:v>
      </x:c>
      <x:c r="D43" t="str">
        <x:v>Не начато</x:v>
      </x:c>
      <x:c r="E43" t="str"/>
    </x:row>
    <x:row r="44" ht="21" customHeight="1">
      <x:c r="A44" t="str">
        <x:v>P-05</x:v>
      </x:c>
      <x:c r="B44" t="str">
        <x:v>Фаза 5 — Темп и атмосфера</x:v>
      </x:c>
      <x:c r="C44" t="str">
        <x:v>Телефон-фонарик</x:v>
      </x:c>
      <x:c r="D44" t="str">
        <x:v>Не начато</x:v>
      </x:c>
      <x:c r="E44" t="str"/>
    </x:row>
    <x:row r="45" ht="21" customHeight="1">
      <x:c r="A45" t="str">
        <x:v>A-01</x:v>
      </x:c>
      <x:c r="B45" t="str">
        <x:v>Фаза 5 — Темп и атмосфера</x:v>
      </x:c>
      <x:c r="C45" t="str">
        <x:v>Звук целиком</x:v>
      </x:c>
      <x:c r="D45" t="str">
        <x:v>Готово</x:v>
      </x:c>
      <x:c r="E45" t="str"/>
    </x:row>
    <x:row r="46" ht="21" customHeight="1">
      <x:c r="A46" t="str">
        <x:v>Q-01</x:v>
      </x:c>
      <x:c r="B46" t="str">
        <x:v>Фаза 6 — Сборка и QA</x:v>
      </x:c>
      <x:c r="C46" t="str">
        <x:v>Полный прогон</x:v>
      </x:c>
      <x:c r="D46" t="str">
        <x:v>Не начато</x:v>
      </x:c>
      <x:c r="E46" t="str"/>
    </x:row>
    <x:row r="47" ht="21" customHeight="1">
      <x:c r="A47" t="str">
        <x:v>Q-02</x:v>
      </x:c>
      <x:c r="B47" t="str">
        <x:v>Фаза 6 — Сборка и QA</x:v>
      </x:c>
      <x:c r="C47" t="str">
        <x:v>Хронометраж</x:v>
      </x:c>
      <x:c r="D47" t="str">
        <x:v>Не начато</x:v>
      </x:c>
      <x:c r="E47" t="str"/>
    </x:row>
    <x:row r="48" ht="21" customHeight="1">
      <x:c r="A48" t="str">
        <x:v>Q-03</x:v>
      </x:c>
      <x:c r="B48" t="str">
        <x:v>Фаза 6 — Сборка и QA</x:v>
      </x:c>
      <x:c r="C48" t="str">
        <x:v>Обновить</x:v>
      </x:c>
      <x:c r="D48" t="str">
        <x:v>Готово</x:v>
      </x:c>
      <x:c r="E48" t="str">
        <x:v>ENDERWIS</x:v>
      </x:c>
    </x:row>
    <x:row r="49" ht="21" customHeight="1">
      <x:c r="A49" t="str">
        <x:v>V-01</x:v>
      </x:c>
      <x:c r="B49" t="str">
        <x:v>Фаза 7 — Эксперимент: озвучка</x:v>
      </x:c>
      <x:c r="C49" t="str">
        <x:v>Тестовая озвучка «как рофл»</x:v>
      </x:c>
      <x:c r="D49" t="str">
        <x:v>Не начато</x:v>
      </x:c>
      <x:c r="E49" t="str"/>
    </x:row>
  </x:sheetData>
  <x:mergeCells>
    <x:mergeCell ref="A1:E1"/>
    <x:mergeCell ref="A2:E2"/>
    <x:mergeCell ref="A7:E7"/>
  </x:mergeCells>
  <x:conditionalFormatting sqref="D9:D500">
    <x:cfRule type="containsText" dxfId="0" priority="1" operator="containsText" text="Готово"/>
    <x:cfRule type="containsText" dxfId="1" priority="2" operator="containsText" text="В работе"/>
    <x:cfRule type="containsText" dxfId="2" priority="3" operator="containsText" text="Не начато"/>
    <x:cfRule type="containsText" dxfId="3" priority="4" operator="containsText" text="Отменено"/>
  </x:conditionalFormatting>
  <x:dataValidations count="1">
    <x:dataValidation type="list" sqref="D9:D500">
      <x:formula1>"Не начато,В работе,Готово,Отменено"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eaa336b0554548"/>
  </x:tableParts>
</x:worksheet>
</file>