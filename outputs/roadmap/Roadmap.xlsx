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laude\knocks-from-beneath\Knocks-from-beneath\outputs\roadmap\"/>
    </mc:Choice>
  </mc:AlternateContent>
  <xr:revisionPtr revIDLastSave="0" documentId="13_ncr:1_{C891FFFB-0F84-4262-AD14-0D93E3F854D6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Roadma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1" l="1"/>
  <c r="D5" i="1"/>
  <c r="C5" i="1"/>
  <c r="B5" i="1"/>
  <c r="A5" i="1"/>
</calcChain>
</file>

<file path=xl/sharedStrings.xml><?xml version="1.0" encoding="utf-8"?>
<sst xmlns="http://schemas.openxmlformats.org/spreadsheetml/2006/main" count="187" uniqueCount="104">
  <si>
    <t>KNOCKS FROM BENEATH • ROADMAP</t>
  </si>
  <si>
    <t>Снимок DESIGN_ROADMAP.md на 27.10.2026 • исходный файл остаётся главным планом</t>
  </si>
  <si>
    <t>Всего</t>
  </si>
  <si>
    <t>Готово</t>
  </si>
  <si>
    <t>В работе</t>
  </si>
  <si>
    <t>Не начато</t>
  </si>
  <si>
    <t>Отменено</t>
  </si>
  <si>
    <t>Изменяйте статус в списке; используйте фильтры в заголовках. Таблица не синхронизируется с roadmap автоматически.</t>
  </si>
  <si>
    <t>ID</t>
  </si>
  <si>
    <t>Фаза</t>
  </si>
  <si>
    <t>Задача</t>
  </si>
  <si>
    <t>Статус</t>
  </si>
  <si>
    <t>Исполнитель</t>
  </si>
  <si>
    <t>D-01</t>
  </si>
  <si>
    <t>Фаза 0 — Фундамент</t>
  </si>
  <si>
    <t>Канон сюжета</t>
  </si>
  <si>
    <t>D-02</t>
  </si>
  <si>
    <t>Концовки</t>
  </si>
  <si>
    <t>F-01</t>
  </si>
  <si>
    <t>Предполётная проверка</t>
  </si>
  <si>
    <t>F-01a</t>
  </si>
  <si>
    <t>Баг коллайдеров декора кухни</t>
  </si>
  <si>
    <t>F-02</t>
  </si>
  <si>
    <t>Общий MinigameWindow</t>
  </si>
  <si>
    <t>F-03</t>
  </si>
  <si>
    <t>StoryFlags</t>
  </si>
  <si>
    <t>F-04</t>
  </si>
  <si>
    <t>Чекпойнты по главам</t>
  </si>
  <si>
    <t>ENDERWIS</t>
  </si>
  <si>
    <t>F-05</t>
  </si>
  <si>
    <t>Реестр концовок</t>
  </si>
  <si>
    <t>K-01</t>
  </si>
  <si>
    <t>Фаза 1 — Стук-язык</t>
  </si>
  <si>
    <t>Стук «под ногами»</t>
  </si>
  <si>
    <t>K-02</t>
  </si>
  <si>
    <t>Ответный стук</t>
  </si>
  <si>
    <t>K-03</t>
  </si>
  <si>
    <t>Мини-игра M1 «Перестук»</t>
  </si>
  <si>
    <t>K-04</t>
  </si>
  <si>
    <t>Стуки-подсказки</t>
  </si>
  <si>
    <t>N-01</t>
  </si>
  <si>
    <t>Пугалка с соседом</t>
  </si>
  <si>
    <t>K-05</t>
  </si>
  <si>
    <t>Реакции героя</t>
  </si>
  <si>
    <t>M-03</t>
  </si>
  <si>
    <t>Фаза 2 — Сюжетные мини-игры</t>
  </si>
  <si>
    <t>«Гвозди» (M3)</t>
  </si>
  <si>
    <t>M-02</t>
  </si>
  <si>
    <t>«Плёнка» (M2)</t>
  </si>
  <si>
    <t>M-04</t>
  </si>
  <si>
    <t>«Щиток» (M4)</t>
  </si>
  <si>
    <t>M-05</t>
  </si>
  <si>
    <t>«Осмотр» (M5)</t>
  </si>
  <si>
    <t>M-06</t>
  </si>
  <si>
    <t>«Звонок» (M6)</t>
  </si>
  <si>
    <t>M-07</t>
  </si>
  <si>
    <t>«Дыхание» (M7)</t>
  </si>
  <si>
    <t>B-01</t>
  </si>
  <si>
    <t>Фаза 3 — Выбор и концовки</t>
  </si>
  <si>
    <t>Вернуть запирание двери</t>
  </si>
  <si>
    <t>B-02</t>
  </si>
  <si>
    <t>Развилка ночи 2</t>
  </si>
  <si>
    <t>B-03</t>
  </si>
  <si>
    <t>Концовки E3/E4</t>
  </si>
  <si>
    <t>B-04</t>
  </si>
  <si>
    <t>Концовка «Сосед»</t>
  </si>
  <si>
    <t>B-05</t>
  </si>
  <si>
    <t>Истинная концовка E5 «Ответ»</t>
  </si>
  <si>
    <t>B-06</t>
  </si>
  <si>
    <t>Галерея концовок</t>
  </si>
  <si>
    <t>B-07</t>
  </si>
  <si>
    <t>«Стакан воды»</t>
  </si>
  <si>
    <t>C-01</t>
  </si>
  <si>
    <t>Фаза 4 — Видеокамера</t>
  </si>
  <si>
    <t>Камера как предмет</t>
  </si>
  <si>
    <t>C-02</t>
  </si>
  <si>
    <t>Ночная запись</t>
  </si>
  <si>
    <t>C-03</t>
  </si>
  <si>
    <t>Мини-игра «Плёнка» (M2)</t>
  </si>
  <si>
    <t>C-04</t>
  </si>
  <si>
    <t>Вторая запись</t>
  </si>
  <si>
    <t>P-01</t>
  </si>
  <si>
    <t>Фаза 5 — Темп и атмосфера</t>
  </si>
  <si>
    <t>Сжать день 1</t>
  </si>
  <si>
    <t>P-02</t>
  </si>
  <si>
    <t>Аномалии дня 2</t>
  </si>
  <si>
    <t>P-03</t>
  </si>
  <si>
    <t>Подвал как глава</t>
  </si>
  <si>
    <t>P-04</t>
  </si>
  <si>
    <t>Диегетический дедлайн</t>
  </si>
  <si>
    <t>P-05</t>
  </si>
  <si>
    <t>Телефон-фонарик</t>
  </si>
  <si>
    <t>A-01</t>
  </si>
  <si>
    <t>Звук целиком</t>
  </si>
  <si>
    <t>Q-01</t>
  </si>
  <si>
    <t>Фаза 6 — Сборка и QA</t>
  </si>
  <si>
    <t>Полный прогон</t>
  </si>
  <si>
    <t>Q-02</t>
  </si>
  <si>
    <t>Хронометраж</t>
  </si>
  <si>
    <t>Q-03</t>
  </si>
  <si>
    <t>Обновить</t>
  </si>
  <si>
    <t>V-01</t>
  </si>
  <si>
    <t>Фаза 7 — Эксперимент: озвучка</t>
  </si>
  <si>
    <t>Тестовая озвучка «как рофл»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</si>
</sst>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6"/>
      <color rgb="FFFFFFFF"/>
      <name val="Carlito"/>
    </font>
    <font>
      <b/>
      <sz val="11"/>
      <color rgb="FF243C50"/>
      <name val="Carlito"/>
    </font>
    <font>
      <b/>
      <sz val="15"/>
      <color rgb="FF1D4962"/>
      <name val="Carlito"/>
    </font>
    <font>
      <b/>
      <sz val="11"/>
      <color rgb="FFFFFFFF"/>
      <name val="Carlito"/>
    </font>
    <font>
      <sz val="10"/>
      <color rgb="FF536777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283A"/>
      </patternFill>
    </fill>
    <fill>
      <patternFill patternType="solid">
        <fgColor rgb="FFDCE6EF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6">
    <xf numFmtId="0" fontId="0" fillId="0" borderId="0" xfId="0"/>
    <xf numFmtId="0" fontId="2" fillId="3" borderId="0" xfId="1" applyFont="1" applyFill="1"/>
    <xf numFmtId="0" fontId="3" fillId="0" borderId="0" xfId="1" applyFont="1"/>
    <xf numFmtId="0" fontId="4" fillId="0" borderId="0" xfId="1" applyFont="1"/>
    <xf numFmtId="0" fontId="1" fillId="2" borderId="0" xfId="1" applyFont="1" applyFill="1"/>
    <xf numFmtId="0" fontId="5" fillId="0" borderId="0" xfId="1" applyFont="1"/>
  </cellXfs>
  <cellStyles count="2">
    <cellStyle name="Normal" xfId="1" xr:uid="{00000000-0005-0000-0000-000000000000}"/>
    <cellStyle name="Обычный" xfId="0" builtinId="0"/>
  </cellStyles>
  <dxfs count="4">
    <dxf>
      <fill>
        <patternFill patternType="solid">
          <bgColor rgb="FFF0E2E2"/>
        </patternFill>
      </fill>
    </dxf>
    <dxf>
      <fill>
        <patternFill patternType="solid">
          <bgColor rgb="FFE6EDF5"/>
        </patternFill>
      </fill>
    </dxf>
    <dxf>
      <fill>
        <patternFill patternType="solid">
          <bgColor rgb="FFFFF0C2"/>
        </patternFill>
      </fill>
    </dxf>
    <dxf>
      <fill>
        <patternFill patternType="solid">
          <bgColor rgb="FFD9EDE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oadmapTasks" displayName="RoadmapTasks" ref="A8:E49" totalsRowShown="0">
  <tableColumns count="5">
    <tableColumn id="1" xr3:uid="{00000000-0010-0000-0000-000001000000}" name="ID"/>
    <tableColumn id="2" xr3:uid="{00000000-0010-0000-0000-000002000000}" name="Фаза"/>
    <tableColumn id="3" xr3:uid="{00000000-0010-0000-0000-000003000000}" name="Задача"/>
    <tableColumn id="4" xr3:uid="{00000000-0010-0000-0000-000004000000}" name="Статус"/>
    <tableColumn id="5" xr3:uid="{00000000-0010-0000-0000-000005000000}" name="Исполнитель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9"/>
  <sheetViews>
    <sheetView showGridLines="0" tabSelected="1" workbookViewId="0">
      <pane ySplit="8" topLeftCell="A27" activePane="bottomLeft" state="frozen"/>
      <selection pane="bottomLeft" activeCell="D43" sqref="D43"/>
    </sheetView>
  </sheetViews>
  <sheetFormatPr defaultRowHeight="14.25"/>
  <cols>
    <col min="1" max="1" width="12" customWidth="1"/>
    <col min="2" max="2" width="38" customWidth="1"/>
    <col min="3" max="3" width="46" customWidth="1"/>
    <col min="4" max="5" width="18" customWidth="1"/>
  </cols>
  <sheetData>
    <row r="1" spans="1:5" ht="32.1" customHeight="1">
      <c r="A1" s="4" t="s">
        <v>0</v>
      </c>
      <c r="B1" s="4"/>
      <c r="C1" s="4"/>
      <c r="D1" s="4"/>
      <c r="E1" s="4"/>
    </row>
    <row r="2" spans="1:5">
      <c r="A2" s="5" t="s">
        <v>1</v>
      </c>
      <c r="B2" s="5"/>
      <c r="C2" s="5"/>
      <c r="D2" s="5"/>
      <c r="E2" s="5"/>
    </row>
    <row r="4" spans="1:5" ht="1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ht="19.5">
      <c r="A5" s="2">
        <f>COUNTA(A9:A500)</f>
        <v>41</v>
      </c>
      <c r="B5" s="2">
        <f>COUNTIF(D9:D500,"Готово")</f>
        <v>24</v>
      </c>
      <c r="C5" s="2">
        <f>COUNTIF(D9:D500,"В работе")</f>
        <v>1</v>
      </c>
      <c r="D5" s="2">
        <f>COUNTIF(D9:D500,"Не начато")</f>
        <v>15</v>
      </c>
      <c r="E5" s="2">
        <f>COUNTIF(D9:D500,"Отменено")</f>
        <v>1</v>
      </c>
    </row>
    <row r="7" spans="1:5">
      <c r="A7" s="5" t="s">
        <v>7</v>
      </c>
      <c r="B7" s="5"/>
      <c r="C7" s="5"/>
      <c r="D7" s="5"/>
      <c r="E7" s="5"/>
    </row>
    <row r="8" spans="1:5" ht="15">
      <c r="A8" s="3" t="s">
        <v>8</v>
      </c>
      <c r="B8" s="3" t="s">
        <v>9</v>
      </c>
      <c r="C8" s="3" t="s">
        <v>10</v>
      </c>
      <c r="D8" s="3" t="s">
        <v>11</v>
      </c>
      <c r="E8" s="3" t="s">
        <v>12</v>
      </c>
    </row>
    <row r="9" spans="1:5" ht="21" customHeight="1">
      <c r="A9" t="s">
        <v>13</v>
      </c>
      <c r="B9" t="s">
        <v>14</v>
      </c>
      <c r="C9" t="s">
        <v>15</v>
      </c>
      <c r="D9" t="s">
        <v>3</v>
      </c>
    </row>
    <row r="10" spans="1:5" ht="21" customHeight="1">
      <c r="A10" t="s">
        <v>16</v>
      </c>
      <c r="B10" t="s">
        <v>14</v>
      </c>
      <c r="C10" t="s">
        <v>17</v>
      </c>
      <c r="D10" t="s">
        <v>3</v>
      </c>
    </row>
    <row r="11" spans="1:5" ht="21" customHeight="1">
      <c r="A11" t="s">
        <v>18</v>
      </c>
      <c r="B11" t="s">
        <v>14</v>
      </c>
      <c r="C11" t="s">
        <v>19</v>
      </c>
      <c r="D11" t="s">
        <v>3</v>
      </c>
    </row>
    <row r="12" spans="1:5" ht="21" customHeight="1">
      <c r="A12" t="s">
        <v>20</v>
      </c>
      <c r="B12" t="s">
        <v>14</v>
      </c>
      <c r="C12" t="s">
        <v>21</v>
      </c>
      <c r="D12" t="s">
        <v>3</v>
      </c>
    </row>
    <row r="13" spans="1:5" ht="21" customHeight="1">
      <c r="A13" t="s">
        <v>22</v>
      </c>
      <c r="B13" t="s">
        <v>14</v>
      </c>
      <c r="C13" t="s">
        <v>23</v>
      </c>
      <c r="D13" t="s">
        <v>3</v>
      </c>
    </row>
    <row r="14" spans="1:5" ht="21" customHeight="1">
      <c r="A14" t="s">
        <v>24</v>
      </c>
      <c r="B14" t="s">
        <v>14</v>
      </c>
      <c r="C14" t="s">
        <v>25</v>
      </c>
      <c r="D14" t="s">
        <v>3</v>
      </c>
    </row>
    <row r="15" spans="1:5" ht="21" customHeight="1">
      <c r="A15" t="s">
        <v>26</v>
      </c>
      <c r="B15" t="s">
        <v>14</v>
      </c>
      <c r="C15" t="s">
        <v>27</v>
      </c>
      <c r="D15" t="s">
        <v>3</v>
      </c>
      <c r="E15" t="s">
        <v>28</v>
      </c>
    </row>
    <row r="16" spans="1:5" ht="21" customHeight="1">
      <c r="A16" t="s">
        <v>29</v>
      </c>
      <c r="B16" t="s">
        <v>14</v>
      </c>
      <c r="C16" t="s">
        <v>30</v>
      </c>
      <c r="D16" t="s">
        <v>3</v>
      </c>
      <c r="E16" t="s">
        <v>28</v>
      </c>
    </row>
    <row r="17" spans="1:5" ht="21" customHeight="1">
      <c r="A17" t="s">
        <v>31</v>
      </c>
      <c r="B17" t="s">
        <v>32</v>
      </c>
      <c r="C17" t="s">
        <v>33</v>
      </c>
      <c r="D17" t="s">
        <v>3</v>
      </c>
    </row>
    <row r="18" spans="1:5" ht="21" customHeight="1">
      <c r="A18" t="s">
        <v>34</v>
      </c>
      <c r="B18" t="s">
        <v>32</v>
      </c>
      <c r="C18" t="s">
        <v>35</v>
      </c>
      <c r="D18" t="s">
        <v>3</v>
      </c>
    </row>
    <row r="19" spans="1:5" ht="21" customHeight="1">
      <c r="A19" t="s">
        <v>36</v>
      </c>
      <c r="B19" t="s">
        <v>32</v>
      </c>
      <c r="C19" t="s">
        <v>37</v>
      </c>
      <c r="D19" t="s">
        <v>3</v>
      </c>
    </row>
    <row r="20" spans="1:5" ht="21" customHeight="1">
      <c r="A20" t="s">
        <v>38</v>
      </c>
      <c r="B20" t="s">
        <v>32</v>
      </c>
      <c r="C20" t="s">
        <v>39</v>
      </c>
      <c r="D20" t="s">
        <v>5</v>
      </c>
    </row>
    <row r="21" spans="1:5" ht="21" customHeight="1">
      <c r="A21" t="s">
        <v>40</v>
      </c>
      <c r="B21" t="s">
        <v>32</v>
      </c>
      <c r="C21" t="s">
        <v>41</v>
      </c>
      <c r="D21" t="s">
        <v>3</v>
      </c>
      <c r="E21" t="s">
        <v>28</v>
      </c>
    </row>
    <row r="22" spans="1:5" ht="21" customHeight="1">
      <c r="A22" t="s">
        <v>42</v>
      </c>
      <c r="B22" t="s">
        <v>32</v>
      </c>
      <c r="C22" t="s">
        <v>43</v>
      </c>
      <c r="D22" t="s">
        <v>3</v>
      </c>
      <c r="E22" t="s">
        <v>28</v>
      </c>
    </row>
    <row r="23" spans="1:5" ht="21" customHeight="1">
      <c r="A23" t="s">
        <v>44</v>
      </c>
      <c r="B23" t="s">
        <v>45</v>
      </c>
      <c r="C23" t="s">
        <v>46</v>
      </c>
      <c r="D23" t="s">
        <v>3</v>
      </c>
    </row>
    <row r="24" spans="1:5" ht="21" customHeight="1">
      <c r="A24" t="s">
        <v>47</v>
      </c>
      <c r="B24" t="s">
        <v>45</v>
      </c>
      <c r="C24" t="s">
        <v>48</v>
      </c>
      <c r="D24" t="s">
        <v>5</v>
      </c>
    </row>
    <row r="25" spans="1:5" ht="21" customHeight="1">
      <c r="A25" t="s">
        <v>49</v>
      </c>
      <c r="B25" t="s">
        <v>45</v>
      </c>
      <c r="C25" t="s">
        <v>50</v>
      </c>
      <c r="D25" t="s">
        <v>3</v>
      </c>
      <c r="E25" t="s">
        <v>28</v>
      </c>
    </row>
    <row r="26" spans="1:5" ht="21" customHeight="1">
      <c r="A26" t="s">
        <v>51</v>
      </c>
      <c r="B26" t="s">
        <v>45</v>
      </c>
      <c r="C26" t="s">
        <v>52</v>
      </c>
      <c r="D26" t="s">
        <v>3</v>
      </c>
    </row>
    <row r="27" spans="1:5" ht="21" customHeight="1">
      <c r="A27" t="s">
        <v>53</v>
      </c>
      <c r="B27" t="s">
        <v>45</v>
      </c>
      <c r="C27" t="s">
        <v>54</v>
      </c>
      <c r="D27" t="s">
        <v>5</v>
      </c>
    </row>
    <row r="28" spans="1:5" ht="21" customHeight="1">
      <c r="A28" t="s">
        <v>55</v>
      </c>
      <c r="B28" t="s">
        <v>45</v>
      </c>
      <c r="C28" t="s">
        <v>56</v>
      </c>
      <c r="D28" t="s">
        <v>3</v>
      </c>
      <c r="E28" t="s">
        <v>28</v>
      </c>
    </row>
    <row r="29" spans="1:5" ht="21" customHeight="1">
      <c r="A29" t="s">
        <v>57</v>
      </c>
      <c r="B29" t="s">
        <v>58</v>
      </c>
      <c r="C29" t="s">
        <v>59</v>
      </c>
      <c r="D29" t="s">
        <v>3</v>
      </c>
      <c r="E29" t="s">
        <v>28</v>
      </c>
    </row>
    <row r="30" spans="1:5" ht="21" customHeight="1">
      <c r="A30" t="s">
        <v>60</v>
      </c>
      <c r="B30" t="s">
        <v>58</v>
      </c>
      <c r="C30" t="s">
        <v>61</v>
      </c>
      <c r="D30" t="s">
        <v>3</v>
      </c>
      <c r="E30" t="s">
        <v>28</v>
      </c>
    </row>
    <row r="31" spans="1:5" ht="21" customHeight="1">
      <c r="A31" t="s">
        <v>62</v>
      </c>
      <c r="B31" t="s">
        <v>58</v>
      </c>
      <c r="C31" t="s">
        <v>63</v>
      </c>
      <c r="D31" t="s">
        <v>5</v>
      </c>
    </row>
    <row r="32" spans="1:5" ht="21" customHeight="1">
      <c r="A32" t="s">
        <v>64</v>
      </c>
      <c r="B32" t="s">
        <v>58</v>
      </c>
      <c r="C32" t="s">
        <v>65</v>
      </c>
      <c r="D32" t="s">
        <v>6</v>
      </c>
    </row>
    <row r="33" spans="1:5" ht="21" customHeight="1">
      <c r="A33" t="s">
        <v>66</v>
      </c>
      <c r="B33" t="s">
        <v>58</v>
      </c>
      <c r="C33" t="s">
        <v>67</v>
      </c>
      <c r="D33" t="s">
        <v>5</v>
      </c>
    </row>
    <row r="34" spans="1:5" ht="21" customHeight="1">
      <c r="A34" t="s">
        <v>68</v>
      </c>
      <c r="B34" t="s">
        <v>58</v>
      </c>
      <c r="C34" t="s">
        <v>69</v>
      </c>
      <c r="D34" t="s">
        <v>5</v>
      </c>
    </row>
    <row r="35" spans="1:5" ht="21" customHeight="1">
      <c r="A35" t="s">
        <v>70</v>
      </c>
      <c r="B35" t="s">
        <v>58</v>
      </c>
      <c r="C35" t="s">
        <v>71</v>
      </c>
      <c r="D35" t="s">
        <v>4</v>
      </c>
      <c r="E35" t="s">
        <v>28</v>
      </c>
    </row>
    <row r="36" spans="1:5" ht="21" customHeight="1">
      <c r="A36" t="s">
        <v>72</v>
      </c>
      <c r="B36" t="s">
        <v>73</v>
      </c>
      <c r="C36" t="s">
        <v>74</v>
      </c>
      <c r="D36" t="s">
        <v>3</v>
      </c>
    </row>
    <row r="37" spans="1:5" ht="21" customHeight="1">
      <c r="A37" t="s">
        <v>75</v>
      </c>
      <c r="B37" t="s">
        <v>73</v>
      </c>
      <c r="C37" t="s">
        <v>76</v>
      </c>
      <c r="D37" t="s">
        <v>3</v>
      </c>
    </row>
    <row r="38" spans="1:5" ht="21" customHeight="1">
      <c r="A38" t="s">
        <v>77</v>
      </c>
      <c r="B38" t="s">
        <v>73</v>
      </c>
      <c r="C38" t="s">
        <v>78</v>
      </c>
      <c r="D38" t="s">
        <v>5</v>
      </c>
    </row>
    <row r="39" spans="1:5" ht="21" customHeight="1">
      <c r="A39" t="s">
        <v>79</v>
      </c>
      <c r="B39" t="s">
        <v>73</v>
      </c>
      <c r="C39" t="s">
        <v>80</v>
      </c>
      <c r="D39" t="s">
        <v>5</v>
      </c>
    </row>
    <row r="40" spans="1:5" ht="21" customHeight="1">
      <c r="A40" t="s">
        <v>81</v>
      </c>
      <c r="B40" t="s">
        <v>82</v>
      </c>
      <c r="C40" t="s">
        <v>83</v>
      </c>
      <c r="D40" t="s">
        <v>5</v>
      </c>
    </row>
    <row r="41" spans="1:5" ht="21" customHeight="1">
      <c r="A41" t="s">
        <v>84</v>
      </c>
      <c r="B41" t="s">
        <v>82</v>
      </c>
      <c r="C41" t="s">
        <v>85</v>
      </c>
      <c r="D41" t="s">
        <v>5</v>
      </c>
    </row>
    <row r="42" spans="1:5" ht="21" customHeight="1">
      <c r="A42" t="s">
        <v>86</v>
      </c>
      <c r="B42" t="s">
        <v>82</v>
      </c>
      <c r="C42" t="s">
        <v>87</v>
      </c>
      <c r="D42" t="s">
        <v>5</v>
      </c>
    </row>
    <row r="43" spans="1:5" ht="21" customHeight="1">
      <c r="A43" t="s">
        <v>88</v>
      </c>
      <c r="B43" t="s">
        <v>82</v>
      </c>
      <c r="C43" t="s">
        <v>89</v>
      </c>
      <c r="D43" t="s">
        <v>5</v>
      </c>
    </row>
    <row r="44" spans="1:5" ht="21" customHeight="1">
      <c r="A44" t="s">
        <v>90</v>
      </c>
      <c r="B44" t="s">
        <v>82</v>
      </c>
      <c r="C44" t="s">
        <v>91</v>
      </c>
      <c r="D44" t="s">
        <v>3</v>
      </c>
    </row>
    <row r="45" spans="1:5" ht="21" customHeight="1">
      <c r="A45" t="s">
        <v>92</v>
      </c>
      <c r="B45" t="s">
        <v>82</v>
      </c>
      <c r="C45" t="s">
        <v>93</v>
      </c>
      <c r="D45" t="s">
        <v>3</v>
      </c>
    </row>
    <row r="46" spans="1:5" ht="21" customHeight="1">
      <c r="A46" t="s">
        <v>94</v>
      </c>
      <c r="B46" t="s">
        <v>95</v>
      </c>
      <c r="C46" t="s">
        <v>96</v>
      </c>
      <c r="D46" t="s">
        <v>5</v>
      </c>
    </row>
    <row r="47" spans="1:5" ht="21" customHeight="1">
      <c r="A47" t="s">
        <v>97</v>
      </c>
      <c r="B47" t="s">
        <v>95</v>
      </c>
      <c r="C47" t="s">
        <v>98</v>
      </c>
      <c r="D47" t="s">
        <v>5</v>
      </c>
    </row>
    <row r="48" spans="1:5" ht="21" customHeight="1">
      <c r="A48" t="s">
        <v>99</v>
      </c>
      <c r="B48" t="s">
        <v>95</v>
      </c>
      <c r="C48" t="s">
        <v>100</v>
      </c>
      <c r="D48" t="s">
        <v>3</v>
      </c>
      <c r="E48" t="s">
        <v>28</v>
      </c>
    </row>
    <row r="49" spans="1:4" ht="21" customHeight="1">
      <c r="A49" t="s">
        <v>101</v>
      </c>
      <c r="B49" t="s">
        <v>102</v>
      </c>
      <c r="C49" t="s">
        <v>103</v>
      </c>
      <c r="D49" t="s">
        <v>5</v>
      </c>
    </row>
  </sheetData>
  <mergeCells count="3">
    <mergeCell ref="A1:E1"/>
    <mergeCell ref="A2:E2"/>
    <mergeCell ref="A7:E7"/>
  </mergeCells>
  <conditionalFormatting sqref="D9:D500">
    <cfRule type="containsText" dxfId="3" priority="1" operator="containsText" text="Готово"/>
    <cfRule type="containsText" dxfId="2" priority="2" operator="containsText" text="В работе"/>
    <cfRule type="containsText" dxfId="1" priority="3" operator="containsText" text="Не начато"/>
    <cfRule type="containsText" dxfId="0" priority="4" operator="containsText" text="Отменено"/>
  </conditionalFormatting>
  <dataValidations count="1">
    <dataValidation type="list" sqref="D9:D500" xr:uid="{00000000-0002-0000-0000-000000000000}">
      <formula1>"Не начато,В работе,Готово,Отменено"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Roadmap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Oscar Lockman</cp:lastModifiedBy>
  <dcterms:modified xsi:type="dcterms:W3CDTF">2026-10-27T18:02:42Z</dcterms:modified>
</cp:coreProperties>
</file>